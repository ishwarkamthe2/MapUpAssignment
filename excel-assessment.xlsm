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it Awad\Downloads\"/>
    </mc:Choice>
  </mc:AlternateContent>
  <xr:revisionPtr revIDLastSave="0" documentId="8_{8897367C-5D7E-454B-8E53-3A6C5D5F5CDA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1">Task_5!$A$9:$J$18</definedName>
    <definedName name="Table2">Task_5!$M$9:$N$18</definedName>
    <definedName name="Table3">Task_5!$A$22:$C$35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6" i="18"/>
  <c r="H4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<sst xmlns="http://schemas.openxmlformats.org/spreadsheetml/2006/main" count="403" uniqueCount="182">
  <si>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</si>
  <si>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</si>
  <si>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</si>
  <si>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</si>
  <si>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</si>
  <si>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</si>
  <si>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</si>
  <si>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</si>
  <si>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</si>
  <si>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</si>
  <si>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</si>
  <si>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</si>
  <si>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</si>
  <si>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</si>
  <si>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</si>
  <si>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</si>
  <si>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</si>
  <si>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</si>
  <si>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</si>
  <si>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</si>
  <si>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</si>
  <si>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</si>
  <si>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</si>
  <si>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</si>
  <si>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</si>
  <si>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</si>
  <si>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</si>
  <si>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</si>
  <si>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</si>
  <si>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</si>
  <si>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</si>
  <si>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</si>
  <si>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</si>
  <si>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</si>
  <si>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</si>
  <si>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</si>
  <si>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</si>
  <si>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</si>
  <si>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</si>
  <si>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</si>
  <si>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</si>
  <si>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</si>
  <si>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</si>
  <si>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</si>
  <si>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</si>
  <si>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</si>
  <si>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</si>
  <si>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</si>
  <si>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</si>
  <si>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</si>
  <si>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</si>
  <si>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</si>
  <si>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</si>
  <si>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</si>
  <si>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</si>
  <si>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</si>
  <si>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</si>
  <si>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</si>
  <si>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</si>
  <si>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</si>
  <si>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</si>
  <si>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</si>
  <si>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</si>
  <si>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</si>
  <si>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</si>
  <si>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</si>
  <si>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</si>
  <si>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</si>
  <si>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</si>
  <si>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</si>
  <si>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</si>
  <si>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</si>
  <si>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</si>
  <si>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</si>
  <si>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</si>
  <si>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</si>
  <si>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</si>
  <si>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</si>
  <si>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</si>
  <si>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</si>
  <si>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</si>
  <si>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</si>
  <si>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</si>
  <si>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</si>
  <si>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</si>
  <si>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</si>
  <si>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</si>
  <si>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</si>
  <si>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</si>
  <si>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</si>
  <si>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</si>
  <si>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</si>
  <si>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</si>
  <si>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</si>
  <si>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</si>
  <si>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</si>
  <si>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</si>
  <si>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</si>
  <si>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</si>
  <si>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</si>
  <si>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</si>
  <si>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</si>
  <si>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</si>
  <si>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</si>
  <si>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</si>
  <si>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</si>
  <si>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</si>
  <si>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</si>
  <si>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</si>
  <si>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</si>
  <si>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</si>
  <si>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</si>
  <si>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</si>
  <si>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</si>
  <si>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</si>
  <si>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</si>
  <si>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</si>
  <si>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</si>
  <si>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</si>
  <si>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</si>
  <si>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</si>
  <si>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</si>
  <si>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</si>
  <si>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</si>
  <si>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</si>
  <si>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</si>
  <si>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</si>
  <si>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</si>
  <si>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</si>
  <si>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</si>
  <si>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</si>
  <si>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</si>
  <si>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</si>
  <si>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</si>
  <si>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</si>
  <si>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</si>
  <si>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</si>
  <si>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</si>
  <si>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SUMIFS(H2:H40, H2:H40, "&gt;20")</t>
  </si>
  <si>
    <t>20000</t>
  </si>
  <si>
    <t>20002</t>
  </si>
  <si>
    <t>20004</t>
  </si>
  <si>
    <t>20006</t>
  </si>
  <si>
    <t>20008</t>
  </si>
  <si>
    <t>20010</t>
  </si>
  <si>
    <t>20012</t>
  </si>
  <si>
    <t>20014</t>
  </si>
  <si>
    <t>20016</t>
  </si>
  <si>
    <t>20018</t>
  </si>
  <si>
    <t>20020</t>
  </si>
  <si>
    <t>20022</t>
  </si>
  <si>
    <t>20024</t>
  </si>
  <si>
    <t>20026</t>
  </si>
  <si>
    <t>20028</t>
  </si>
  <si>
    <t>20030</t>
  </si>
  <si>
    <t>20032</t>
  </si>
  <si>
    <t>20034</t>
  </si>
  <si>
    <t>20036</t>
  </si>
  <si>
    <t>20038</t>
  </si>
  <si>
    <t>20040</t>
  </si>
  <si>
    <t>20042</t>
  </si>
  <si>
    <t>20044</t>
  </si>
  <si>
    <t>20046</t>
  </si>
  <si>
    <t>20048</t>
  </si>
  <si>
    <t>20050</t>
  </si>
  <si>
    <t>20052</t>
  </si>
  <si>
    <t>20054</t>
  </si>
  <si>
    <t>20058</t>
  </si>
  <si>
    <t>20060</t>
  </si>
  <si>
    <t>21000</t>
  </si>
  <si>
    <t>21002</t>
  </si>
  <si>
    <t>21004</t>
  </si>
  <si>
    <t>21006</t>
  </si>
  <si>
    <t>21008</t>
  </si>
  <si>
    <t>21010</t>
  </si>
  <si>
    <t>21012</t>
  </si>
  <si>
    <t>21014</t>
  </si>
  <si>
    <t>21016</t>
  </si>
  <si>
    <t>I used built in functionality for spliting the column first of all I go to data tab which is located on ribben and after that I go to text to column and set dlimeter ad''</t>
  </si>
  <si>
    <t>SUM(IF(ISNUMBER(C12:C21), C12:C21, 20))</t>
  </si>
  <si>
    <t xml:space="preserve">I used this formula for replacing #N/A value with 20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</si>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</sst>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3" fillId="0" borderId="0" xfId="0" applyNumberFormat="1" applyFont="1"/>
    <xf numFmtId="49" fontId="3" fillId="0" borderId="9" xfId="0" applyNumberFormat="1" applyFont="1" applyBorder="1"/>
    <xf numFmtId="49" fontId="3" fillId="0" borderId="2" xfId="0" applyNumberFormat="1" applyFont="1" applyBorder="1"/>
    <xf numFmtId="49" fontId="3" fillId="0" borderId="4" xfId="0" applyNumberFormat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113</v>
      </c>
    </row>
    <row r="8" spans="1:3" x14ac:dyDescent="0.3">
      <c r="A8" s="2" t="s">
        <v>134</v>
      </c>
    </row>
    <row r="9" spans="1:3" x14ac:dyDescent="0.3">
      <c r="A9" s="35" t="s">
        <v>132</v>
      </c>
      <c r="B9" s="25" t="s">
        <v>130</v>
      </c>
    </row>
    <row r="10" spans="1:3" x14ac:dyDescent="0.3">
      <c r="A10" s="34" t="s">
        <v>133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131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tabSelected="1" zoomScaleNormal="100" workbookViewId="0">
      <pane ySplit="1" topLeftCell="A2" activePane="bottomLeft" state="frozen"/>
      <selection pane="bottomLeft" sqref="A1:T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0.33203125" style="1" bestFit="1" customWidth="1"/>
    <col min="26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45052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45053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45054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45055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45056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45057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45058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45059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45060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45061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45062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45063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45064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45065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45066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45067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45068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45069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45070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45071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45072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45073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45074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45075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45076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45077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45078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45079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45080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45081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45082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45083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45084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45085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45086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45087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45088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45089</v>
      </c>
    </row>
    <row r="44" spans="1:24" x14ac:dyDescent="0.3">
      <c r="H44" s="1">
        <f>SUMIFS(H2:H40, H2:H40, "&gt;20")</f>
        <v>1473.0000000000002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A1:X40">
    <cfRule type="cellIs" dxfId="5" priority="1" operator="equal">
      <formula>0</formula>
    </cfRule>
    <cfRule type="cellIs" dxfId="4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A2" zoomScaleNormal="100" workbookViewId="0">
      <selection activeCell="B29" sqref="B2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137</v>
      </c>
    </row>
    <row r="2" spans="1:5" x14ac:dyDescent="0.3">
      <c r="A2" s="2"/>
      <c r="B2" s="5" t="s">
        <v>121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3" t="s">
        <v>138</v>
      </c>
      <c r="E5" s="1">
        <v>10</v>
      </c>
    </row>
    <row r="6" spans="1:5" x14ac:dyDescent="0.3">
      <c r="A6" s="6">
        <v>4</v>
      </c>
      <c r="B6" s="2" t="s">
        <v>105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28" sqref="G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125</v>
      </c>
    </row>
    <row r="2" spans="1:7" s="40" customFormat="1" ht="21" x14ac:dyDescent="0.4">
      <c r="B2" s="40" t="s">
        <v>122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123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VLOOKUP(A6,Dataset!A1:X40,7,FALSE)</f>
        <v>2.7</v>
      </c>
      <c r="C6" s="11">
        <f>VLOOKUP(A6,Dataset!A1:X40,14,FALSE)</f>
        <v>7.6</v>
      </c>
      <c r="D6" s="11">
        <f>VLOOKUP(A6,Dataset!A1:X40,18,FALSE)</f>
        <v>4.2</v>
      </c>
      <c r="E6" s="11">
        <f>VLOOKUP(A6,Dataset!A1:X40,20,FALSE)</f>
        <v>8.9</v>
      </c>
      <c r="F6" s="11">
        <f>VLOOKUP(A6,Dataset!A1:X40,22,FALSE)</f>
        <v>4.2</v>
      </c>
    </row>
    <row r="7" spans="1:7" ht="14.4" x14ac:dyDescent="0.3">
      <c r="A7" s="7" t="s">
        <v>4</v>
      </c>
      <c r="B7" s="11">
        <f>VLOOKUP(A7,Dataset!A2:X41,7,FALSE)</f>
        <v>2.7</v>
      </c>
      <c r="C7" s="11">
        <f>VLOOKUP(A7,Dataset!A2:X41,14,FALSE)</f>
        <v>7.6</v>
      </c>
      <c r="D7" s="11">
        <f>VLOOKUP(A7,Dataset!A2:X41,18,FALSE)</f>
        <v>4.2</v>
      </c>
      <c r="E7" s="11">
        <f>VLOOKUP(A7,Dataset!A2:X41,20,FALSE)</f>
        <v>8.9</v>
      </c>
      <c r="F7" s="11">
        <f>VLOOKUP(A7,Dataset!A2:X41,22,FALSE)</f>
        <v>4.2</v>
      </c>
    </row>
    <row r="8" spans="1:7" ht="14.4" x14ac:dyDescent="0.3">
      <c r="A8" s="7" t="s">
        <v>7</v>
      </c>
      <c r="B8" s="11">
        <f>VLOOKUP(A8,Dataset!A3:X42,7,FALSE)</f>
        <v>3.6</v>
      </c>
      <c r="C8" s="11">
        <f>VLOOKUP(A8,Dataset!A3:X42,14,FALSE)</f>
        <v>11.1</v>
      </c>
      <c r="D8" s="11">
        <f>VLOOKUP(A8,Dataset!A3:X42,18,FALSE)</f>
        <v>5.8</v>
      </c>
      <c r="E8" s="11">
        <f>VLOOKUP(A8,Dataset!A3:X42,20,FALSE)</f>
        <v>12.2</v>
      </c>
      <c r="F8" s="11">
        <f>VLOOKUP(A8,Dataset!A3:X42,22,FALSE)</f>
        <v>5.8</v>
      </c>
    </row>
    <row r="9" spans="1:7" ht="14.4" x14ac:dyDescent="0.3">
      <c r="A9" s="7" t="s">
        <v>8</v>
      </c>
      <c r="B9" s="11">
        <f>VLOOKUP(A9,Dataset!A4:X43,7,FALSE)</f>
        <v>4.9000000000000004</v>
      </c>
      <c r="C9" s="11">
        <f>VLOOKUP(A9,Dataset!A4:X43,14,FALSE)</f>
        <v>13.3</v>
      </c>
      <c r="D9" s="11">
        <f>VLOOKUP(A9,Dataset!A4:X43,18,FALSE)</f>
        <v>8.1</v>
      </c>
      <c r="E9" s="11">
        <f>VLOOKUP(A9,Dataset!A4:X43,20,FALSE)</f>
        <v>17</v>
      </c>
      <c r="F9" s="11">
        <f>VLOOKUP(A9,Dataset!A4:X43,22,FALSE)</f>
        <v>8.1</v>
      </c>
    </row>
    <row r="10" spans="1:7" ht="14.4" x14ac:dyDescent="0.3">
      <c r="A10" s="7" t="s">
        <v>11</v>
      </c>
      <c r="B10" s="11">
        <f>VLOOKUP(A10,Dataset!A5:X44,7,FALSE)</f>
        <v>9.4</v>
      </c>
      <c r="C10" s="11">
        <f>VLOOKUP(A10,Dataset!A5:X44,14,FALSE)</f>
        <v>28.3</v>
      </c>
      <c r="D10" s="11">
        <f>VLOOKUP(A10,Dataset!A5:X44,18,FALSE)</f>
        <v>16.100000000000001</v>
      </c>
      <c r="E10" s="11">
        <f>VLOOKUP(A10,Dataset!A5:X44,20,FALSE)</f>
        <v>32.799999999999997</v>
      </c>
      <c r="F10" s="11">
        <f>VLOOKUP(A10,Dataset!A5:X44,22,FALSE)</f>
        <v>16.100000000000001</v>
      </c>
    </row>
    <row r="11" spans="1:7" ht="14.4" x14ac:dyDescent="0.3">
      <c r="A11" s="7" t="s">
        <v>12</v>
      </c>
      <c r="B11" s="11">
        <f>VLOOKUP(A11,Dataset!A6:X45,7,FALSE)</f>
        <v>11.6</v>
      </c>
      <c r="C11" s="11">
        <f>VLOOKUP(A11,Dataset!A6:X45,14,FALSE)</f>
        <v>35.200000000000003</v>
      </c>
      <c r="D11" s="11">
        <f>VLOOKUP(A11,Dataset!A6:X45,18,FALSE)</f>
        <v>21.3</v>
      </c>
      <c r="E11" s="11">
        <f>VLOOKUP(A11,Dataset!A6:X45,20,FALSE)</f>
        <v>43</v>
      </c>
      <c r="F11" s="11">
        <f>VLOOKUP(A11,Dataset!A6:X45,22,FALSE)</f>
        <v>21.3</v>
      </c>
    </row>
    <row r="12" spans="1:7" ht="14.4" x14ac:dyDescent="0.3">
      <c r="A12" s="7" t="s">
        <v>14</v>
      </c>
      <c r="B12" s="11">
        <f>VLOOKUP(A12,Dataset!A7:X46,7,FALSE)</f>
        <v>18.399999999999999</v>
      </c>
      <c r="C12" s="11">
        <f>VLOOKUP(A12,Dataset!A7:X46,14,FALSE)</f>
        <v>55.6</v>
      </c>
      <c r="D12" s="11">
        <f>VLOOKUP(A12,Dataset!A7:X46,18,FALSE)</f>
        <v>33.799999999999997</v>
      </c>
      <c r="E12" s="11">
        <f>VLOOKUP(A12,Dataset!A7:X46,20,FALSE)</f>
        <v>67.900000000000006</v>
      </c>
      <c r="F12" s="11">
        <f>VLOOKUP(A12,Dataset!A7:X46,22,FALSE)</f>
        <v>33.799999999999997</v>
      </c>
    </row>
    <row r="13" spans="1:7" ht="14.4" x14ac:dyDescent="0.3">
      <c r="A13" s="7" t="s">
        <v>15</v>
      </c>
      <c r="B13" s="11">
        <f>VLOOKUP(A13,Dataset!A8:X47,7,FALSE)</f>
        <v>0</v>
      </c>
      <c r="C13" s="11">
        <f>VLOOKUP(A13,Dataset!A8:X47,14,FALSE)</f>
        <v>0</v>
      </c>
      <c r="D13" s="11">
        <f>VLOOKUP(A13,Dataset!A8:X47,18,FALSE)</f>
        <v>0</v>
      </c>
      <c r="E13" s="11">
        <f>VLOOKUP(A13,Dataset!A8:X47,20,FALSE)</f>
        <v>0</v>
      </c>
      <c r="F13" s="11">
        <f>VLOOKUP(A13,Dataset!A8:X47,22,FALSE)</f>
        <v>0</v>
      </c>
    </row>
    <row r="14" spans="1:7" ht="14.4" x14ac:dyDescent="0.3">
      <c r="A14" s="7" t="s">
        <v>16</v>
      </c>
      <c r="B14" s="11">
        <f>VLOOKUP(A14,Dataset!A9:X48,7,FALSE)</f>
        <v>21.9</v>
      </c>
      <c r="C14" s="11">
        <f>VLOOKUP(A14,Dataset!A9:X48,14,FALSE)</f>
        <v>61.5</v>
      </c>
      <c r="D14" s="11">
        <f>VLOOKUP(A14,Dataset!A9:X48,18,FALSE)</f>
        <v>40.1</v>
      </c>
      <c r="E14" s="11">
        <f>VLOOKUP(A14,Dataset!A9:X48,20,FALSE)</f>
        <v>76.599999999999994</v>
      </c>
      <c r="F14" s="11">
        <f>VLOOKUP(A14,Dataset!A9:X48,22,FALSE)</f>
        <v>40.1</v>
      </c>
    </row>
    <row r="15" spans="1:7" ht="14.4" x14ac:dyDescent="0.3">
      <c r="A15" s="7" t="s">
        <v>18</v>
      </c>
      <c r="B15" s="11">
        <f>VLOOKUP(A15,Dataset!A10:X49,7,FALSE)</f>
        <v>26.8</v>
      </c>
      <c r="C15" s="11">
        <f>VLOOKUP(A15,Dataset!A10:X49,14,FALSE)</f>
        <v>79.599999999999994</v>
      </c>
      <c r="D15" s="11">
        <f>VLOOKUP(A15,Dataset!A10:X49,18,FALSE)</f>
        <v>47.9</v>
      </c>
      <c r="E15" s="11">
        <f>VLOOKUP(A15,Dataset!A10:X49,20,FALSE)</f>
        <v>96.8</v>
      </c>
      <c r="F15" s="11">
        <f>VLOOKUP(A15,Dataset!A10:X49,22,FALSE)</f>
        <v>47.9</v>
      </c>
    </row>
    <row r="16" spans="1:7" ht="14.4" x14ac:dyDescent="0.3">
      <c r="A16" s="7" t="s">
        <v>20</v>
      </c>
      <c r="B16" s="11">
        <f>VLOOKUP(A16,Dataset!A11:X50,7,FALSE)</f>
        <v>28.5</v>
      </c>
      <c r="C16" s="11">
        <f>VLOOKUP(A16,Dataset!A11:X50,14,FALSE)</f>
        <v>85.4</v>
      </c>
      <c r="D16" s="11">
        <f>VLOOKUP(A16,Dataset!A11:X50,18,FALSE)</f>
        <v>52.3</v>
      </c>
      <c r="E16" s="11">
        <f>VLOOKUP(A16,Dataset!A11:X50,20,FALSE)</f>
        <v>106.1</v>
      </c>
      <c r="F16" s="11">
        <f>VLOOKUP(A16,Dataset!A11:X50,22,FALSE)</f>
        <v>52.3</v>
      </c>
    </row>
    <row r="17" spans="1:6" ht="14.4" x14ac:dyDescent="0.3">
      <c r="A17" s="7" t="s">
        <v>22</v>
      </c>
      <c r="B17" s="11">
        <f>VLOOKUP(A17,Dataset!A12:X51,7,FALSE)</f>
        <v>30.7</v>
      </c>
      <c r="C17" s="11">
        <f>VLOOKUP(A17,Dataset!A12:X51,14,FALSE)</f>
        <v>92.1</v>
      </c>
      <c r="D17" s="11">
        <f>VLOOKUP(A17,Dataset!A12:X51,18,FALSE)</f>
        <v>57</v>
      </c>
      <c r="E17" s="11">
        <f>VLOOKUP(A17,Dataset!A12:X51,20,FALSE)</f>
        <v>115.1</v>
      </c>
      <c r="F17" s="11">
        <f>VLOOKUP(A17,Dataset!A12:X51,22,FALSE)</f>
        <v>57</v>
      </c>
    </row>
    <row r="18" spans="1:6" ht="14.4" x14ac:dyDescent="0.3">
      <c r="A18" s="7" t="s">
        <v>23</v>
      </c>
      <c r="B18" s="11">
        <f>VLOOKUP(A18,Dataset!A13:X52,7,FALSE)</f>
        <v>33.799999999999997</v>
      </c>
      <c r="C18" s="11">
        <f>VLOOKUP(A18,Dataset!A13:X52,14,FALSE)</f>
        <v>101.3</v>
      </c>
      <c r="D18" s="11">
        <f>VLOOKUP(A18,Dataset!A13:X52,18,FALSE)</f>
        <v>61.4</v>
      </c>
      <c r="E18" s="11">
        <f>VLOOKUP(A18,Dataset!A13:X52,20,FALSE)</f>
        <v>124.4</v>
      </c>
      <c r="F18" s="11">
        <f>VLOOKUP(A18,Dataset!A13:X52,22,FALSE)</f>
        <v>61.4</v>
      </c>
    </row>
    <row r="19" spans="1:6" ht="14.4" x14ac:dyDescent="0.3">
      <c r="A19" s="7" t="s">
        <v>24</v>
      </c>
      <c r="B19" s="11">
        <f>VLOOKUP(A19,Dataset!A14:X53,7,FALSE)</f>
        <v>34.700000000000003</v>
      </c>
      <c r="C19" s="11">
        <f>VLOOKUP(A19,Dataset!A14:X53,14,FALSE)</f>
        <v>106.1</v>
      </c>
      <c r="D19" s="11">
        <f>VLOOKUP(A19,Dataset!A14:X53,18,FALSE)</f>
        <v>63.6</v>
      </c>
      <c r="E19" s="11">
        <f>VLOOKUP(A19,Dataset!A14:X53,20,FALSE)</f>
        <v>128.6</v>
      </c>
      <c r="F19" s="11">
        <f>VLOOKUP(A19,Dataset!A14:X53,22,FALSE)</f>
        <v>63.6</v>
      </c>
    </row>
    <row r="20" spans="1:6" ht="14.4" x14ac:dyDescent="0.3">
      <c r="A20" s="7" t="s">
        <v>28</v>
      </c>
      <c r="B20" s="11">
        <f>VLOOKUP(A20,Dataset!A15:X54,7,FALSE)</f>
        <v>0</v>
      </c>
      <c r="C20" s="11">
        <f>VLOOKUP(A20,Dataset!A15:X54,14,FALSE)</f>
        <v>0</v>
      </c>
      <c r="D20" s="11">
        <f>VLOOKUP(A20,Dataset!A15:X54,18,FALSE)</f>
        <v>0</v>
      </c>
      <c r="E20" s="11">
        <f>VLOOKUP(A20,Dataset!A15:X54,20,FALSE)</f>
        <v>0</v>
      </c>
      <c r="F20" s="11">
        <f>VLOOKUP(A20,Dataset!A15:X54,22,FALSE)</f>
        <v>0</v>
      </c>
    </row>
    <row r="21" spans="1:6" ht="14.4" x14ac:dyDescent="0.3">
      <c r="A21" s="7" t="s">
        <v>57</v>
      </c>
      <c r="B21" s="11">
        <f>VLOOKUP(A21,Dataset!A16:X55,7,FALSE)</f>
        <v>41.3</v>
      </c>
      <c r="C21" s="11">
        <f>VLOOKUP(A21,Dataset!A16:X55,14,FALSE)</f>
        <v>124.4</v>
      </c>
      <c r="D21" s="11">
        <f>VLOOKUP(A21,Dataset!A16:X55,18,FALSE)</f>
        <v>75</v>
      </c>
      <c r="E21" s="11">
        <f>VLOOKUP(A21,Dataset!A16:X55,20,FALSE)</f>
        <v>151.5</v>
      </c>
      <c r="F21" s="11">
        <f>VLOOKUP(A21,Dataset!A16:X55,22,FALSE)</f>
        <v>75</v>
      </c>
    </row>
    <row r="22" spans="1:6" ht="14.4" x14ac:dyDescent="0.3">
      <c r="A22" s="7" t="s">
        <v>58</v>
      </c>
      <c r="B22" s="11">
        <f>VLOOKUP(A22,Dataset!A17:X56,7,FALSE)</f>
        <v>-1</v>
      </c>
      <c r="C22" s="11">
        <f>VLOOKUP(A22,Dataset!A17:X56,14,FALSE)</f>
        <v>-1</v>
      </c>
      <c r="D22" s="11">
        <f>VLOOKUP(A22,Dataset!A17:X56,18,FALSE)</f>
        <v>-1</v>
      </c>
      <c r="E22" s="11">
        <f>VLOOKUP(A22,Dataset!A17:X56,20,FALSE)</f>
        <v>-1</v>
      </c>
      <c r="F22" s="11">
        <f>VLOOKUP(A22,Dataset!A17:X56,22,FALSE)</f>
        <v>-1</v>
      </c>
    </row>
    <row r="23" spans="1:6" ht="14.4" x14ac:dyDescent="0.3">
      <c r="A23" s="7" t="s">
        <v>31</v>
      </c>
      <c r="B23" s="11">
        <f>VLOOKUP(A23,Dataset!A18:X57,7,FALSE)</f>
        <v>45</v>
      </c>
      <c r="C23" s="11">
        <f>VLOOKUP(A23,Dataset!A18:X57,14,FALSE)</f>
        <v>133.4</v>
      </c>
      <c r="D23" s="11">
        <f>VLOOKUP(A23,Dataset!A18:X57,18,FALSE)</f>
        <v>79.400000000000006</v>
      </c>
      <c r="E23" s="11">
        <f>VLOOKUP(A23,Dataset!A18:X57,20,FALSE)</f>
        <v>160.9</v>
      </c>
      <c r="F23" s="11">
        <f>VLOOKUP(A23,Dataset!A18:X57,22,FALSE)</f>
        <v>79.400000000000006</v>
      </c>
    </row>
    <row r="24" spans="1:6" ht="14.4" x14ac:dyDescent="0.3">
      <c r="A24" s="7" t="s">
        <v>32</v>
      </c>
      <c r="B24" s="11">
        <f>VLOOKUP(A24,Dataset!A19:X58,7,FALSE)</f>
        <v>-1</v>
      </c>
      <c r="C24" s="11">
        <f>VLOOKUP(A24,Dataset!A19:X58,14,FALSE)</f>
        <v>-1</v>
      </c>
      <c r="D24" s="11">
        <f>VLOOKUP(A24,Dataset!A19:X58,18,FALSE)</f>
        <v>-1</v>
      </c>
      <c r="E24" s="11">
        <f>VLOOKUP(A24,Dataset!A19:X58,20,FALSE)</f>
        <v>-1</v>
      </c>
      <c r="F24" s="11">
        <f>VLOOKUP(A24,Dataset!A19:X58,22,FALSE)</f>
        <v>-1</v>
      </c>
    </row>
    <row r="25" spans="1:6" ht="14.4" x14ac:dyDescent="0.3">
      <c r="A25" s="7" t="s">
        <v>34</v>
      </c>
      <c r="B25" s="11">
        <f>VLOOKUP(A25,Dataset!A20:X59,7,FALSE)</f>
        <v>43.3</v>
      </c>
      <c r="C25" s="11">
        <f>VLOOKUP(A25,Dataset!A20:X59,14,FALSE)</f>
        <v>128.6</v>
      </c>
      <c r="D25" s="11">
        <f>VLOOKUP(A25,Dataset!A20:X59,18,FALSE)</f>
        <v>79.400000000000006</v>
      </c>
      <c r="E25" s="11">
        <f>VLOOKUP(A25,Dataset!A20:X59,20,FALSE)</f>
        <v>160.9</v>
      </c>
      <c r="F25" s="11">
        <f>VLOOKUP(A25,Dataset!A20:X59,22,FALSE)</f>
        <v>79.400000000000006</v>
      </c>
    </row>
    <row r="26" spans="1:6" ht="14.4" x14ac:dyDescent="0.3">
      <c r="A26" s="7" t="s">
        <v>37</v>
      </c>
      <c r="B26" s="11">
        <f>VLOOKUP(A26,Dataset!A21:X60,7,FALSE)</f>
        <v>49.1</v>
      </c>
      <c r="C26" s="11">
        <f>VLOOKUP(A26,Dataset!A21:X60,14,FALSE)</f>
        <v>146.80000000000001</v>
      </c>
      <c r="D26" s="11">
        <f>VLOOKUP(A26,Dataset!A21:X60,18,FALSE)</f>
        <v>90.9</v>
      </c>
      <c r="E26" s="11">
        <f>VLOOKUP(A26,Dataset!A21:X60,20,FALSE)</f>
        <v>183.5</v>
      </c>
      <c r="F26" s="11">
        <f>VLOOKUP(A26,Dataset!A21:X60,22,FALSE)</f>
        <v>90.9</v>
      </c>
    </row>
    <row r="27" spans="1:6" ht="14.4" x14ac:dyDescent="0.3">
      <c r="A27" s="7" t="s">
        <v>39</v>
      </c>
      <c r="B27" s="11">
        <f>VLOOKUP(A27,Dataset!A22:X61,7,FALSE)</f>
        <v>51.8</v>
      </c>
      <c r="C27" s="11">
        <f>VLOOKUP(A27,Dataset!A22:X61,14,FALSE)</f>
        <v>156.4</v>
      </c>
      <c r="D27" s="11">
        <f>VLOOKUP(A27,Dataset!A22:X61,18,FALSE)</f>
        <v>93.1</v>
      </c>
      <c r="E27" s="11">
        <f>VLOOKUP(A27,Dataset!A22:X61,20,FALSE)</f>
        <v>188.1</v>
      </c>
      <c r="F27" s="11">
        <f>VLOOKUP(A27,Dataset!A22:X61,22,FALSE)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135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112</v>
      </c>
    </row>
    <row r="5" spans="1:10" ht="18" x14ac:dyDescent="0.35">
      <c r="A5" s="42" t="s">
        <v>53</v>
      </c>
      <c r="B5" s="39"/>
    </row>
    <row r="6" spans="1:10" ht="18" x14ac:dyDescent="0.35">
      <c r="A6" s="42"/>
      <c r="B6" s="39" t="s">
        <v>178</v>
      </c>
    </row>
    <row r="7" spans="1:10" ht="18" x14ac:dyDescent="0.35">
      <c r="A7" s="42"/>
      <c r="B7" s="39"/>
    </row>
    <row r="9" spans="1:10" ht="23.4" x14ac:dyDescent="0.45">
      <c r="A9" s="17" t="s">
        <v>126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111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123</v>
      </c>
    </row>
    <row r="15" spans="1:10" x14ac:dyDescent="0.3">
      <c r="A15" s="46" t="s">
        <v>49</v>
      </c>
      <c r="B15" s="16" t="s">
        <v>50</v>
      </c>
      <c r="C15" s="14" t="s">
        <v>51</v>
      </c>
      <c r="D15" s="16" t="s">
        <v>52</v>
      </c>
      <c r="E15" s="14" t="s">
        <v>54</v>
      </c>
      <c r="F15" s="16"/>
    </row>
    <row r="16" spans="1:10" x14ac:dyDescent="0.3">
      <c r="A16" s="47" t="s">
        <v>139</v>
      </c>
      <c r="B16" s="11" t="s">
        <v>5</v>
      </c>
      <c r="C16" s="1">
        <v>0</v>
      </c>
      <c r="D16" s="11" t="s">
        <v>6</v>
      </c>
      <c r="E16" s="1">
        <v>24</v>
      </c>
      <c r="F16" s="11"/>
    </row>
    <row r="17" spans="1:6" x14ac:dyDescent="0.3">
      <c r="A17" s="47" t="s">
        <v>140</v>
      </c>
      <c r="B17" s="11" t="s">
        <v>5</v>
      </c>
      <c r="C17" s="1">
        <v>0</v>
      </c>
      <c r="D17" s="11" t="s">
        <v>6</v>
      </c>
      <c r="E17" s="1">
        <v>24</v>
      </c>
      <c r="F17" s="11"/>
    </row>
    <row r="18" spans="1:6" x14ac:dyDescent="0.3">
      <c r="A18" s="47" t="s">
        <v>141</v>
      </c>
      <c r="B18" s="11" t="s">
        <v>5</v>
      </c>
      <c r="C18" s="1">
        <v>0</v>
      </c>
      <c r="D18" s="11" t="s">
        <v>6</v>
      </c>
      <c r="E18" s="1">
        <v>24</v>
      </c>
      <c r="F18" s="11"/>
    </row>
    <row r="19" spans="1:6" x14ac:dyDescent="0.3">
      <c r="A19" s="47" t="s">
        <v>142</v>
      </c>
      <c r="B19" s="11" t="s">
        <v>5</v>
      </c>
      <c r="C19" s="1">
        <v>0</v>
      </c>
      <c r="D19" s="11" t="s">
        <v>6</v>
      </c>
      <c r="E19" s="1">
        <v>24</v>
      </c>
      <c r="F19" s="11"/>
    </row>
    <row r="20" spans="1:6" x14ac:dyDescent="0.3">
      <c r="A20" s="47" t="s">
        <v>143</v>
      </c>
      <c r="B20" s="11" t="s">
        <v>5</v>
      </c>
      <c r="C20" s="1">
        <v>0</v>
      </c>
      <c r="D20" s="11" t="s">
        <v>6</v>
      </c>
      <c r="E20" s="1">
        <v>24</v>
      </c>
      <c r="F20" s="11"/>
    </row>
    <row r="21" spans="1:6" x14ac:dyDescent="0.3">
      <c r="A21" s="47" t="s">
        <v>144</v>
      </c>
      <c r="B21" s="11" t="s">
        <v>5</v>
      </c>
      <c r="C21" s="1">
        <v>0</v>
      </c>
      <c r="D21" s="11" t="s">
        <v>6</v>
      </c>
      <c r="E21" s="1">
        <v>24</v>
      </c>
      <c r="F21" s="11"/>
    </row>
    <row r="22" spans="1:6" x14ac:dyDescent="0.3">
      <c r="A22" s="47" t="s">
        <v>145</v>
      </c>
      <c r="B22" s="11" t="s">
        <v>5</v>
      </c>
      <c r="C22" s="1">
        <v>0</v>
      </c>
      <c r="D22" s="11" t="s">
        <v>6</v>
      </c>
      <c r="E22" s="1">
        <v>24</v>
      </c>
      <c r="F22" s="11"/>
    </row>
    <row r="23" spans="1:6" x14ac:dyDescent="0.3">
      <c r="A23" s="47" t="s">
        <v>146</v>
      </c>
      <c r="B23" s="11" t="s">
        <v>5</v>
      </c>
      <c r="C23" s="1">
        <v>0</v>
      </c>
      <c r="D23" s="11" t="s">
        <v>6</v>
      </c>
      <c r="E23" s="1">
        <v>24</v>
      </c>
      <c r="F23" s="11"/>
    </row>
    <row r="24" spans="1:6" x14ac:dyDescent="0.3">
      <c r="A24" s="47" t="s">
        <v>147</v>
      </c>
      <c r="B24" s="11" t="s">
        <v>5</v>
      </c>
      <c r="C24" s="1">
        <v>0</v>
      </c>
      <c r="D24" s="11" t="s">
        <v>6</v>
      </c>
      <c r="E24" s="1">
        <v>24</v>
      </c>
      <c r="F24" s="11"/>
    </row>
    <row r="25" spans="1:6" x14ac:dyDescent="0.3">
      <c r="A25" s="47" t="s">
        <v>148</v>
      </c>
      <c r="B25" s="11" t="s">
        <v>5</v>
      </c>
      <c r="C25" s="1">
        <v>0</v>
      </c>
      <c r="D25" s="11" t="s">
        <v>6</v>
      </c>
      <c r="E25" s="1">
        <v>24</v>
      </c>
      <c r="F25" s="11"/>
    </row>
    <row r="26" spans="1:6" x14ac:dyDescent="0.3">
      <c r="A26" s="47" t="s">
        <v>149</v>
      </c>
      <c r="B26" s="11" t="s">
        <v>5</v>
      </c>
      <c r="C26" s="1">
        <v>0</v>
      </c>
      <c r="D26" s="11" t="s">
        <v>6</v>
      </c>
      <c r="E26" s="1">
        <v>24</v>
      </c>
      <c r="F26" s="11"/>
    </row>
    <row r="27" spans="1:6" x14ac:dyDescent="0.3">
      <c r="A27" s="47" t="s">
        <v>150</v>
      </c>
      <c r="B27" s="11" t="s">
        <v>5</v>
      </c>
      <c r="C27" s="1">
        <v>0</v>
      </c>
      <c r="D27" s="11" t="s">
        <v>6</v>
      </c>
      <c r="E27" s="1">
        <v>24</v>
      </c>
      <c r="F27" s="11"/>
    </row>
    <row r="28" spans="1:6" x14ac:dyDescent="0.3">
      <c r="A28" s="47" t="s">
        <v>151</v>
      </c>
      <c r="B28" s="11" t="s">
        <v>5</v>
      </c>
      <c r="C28" s="1">
        <v>0</v>
      </c>
      <c r="D28" s="11" t="s">
        <v>6</v>
      </c>
      <c r="E28" s="1">
        <v>24</v>
      </c>
      <c r="F28" s="11"/>
    </row>
    <row r="29" spans="1:6" x14ac:dyDescent="0.3">
      <c r="A29" s="47" t="s">
        <v>152</v>
      </c>
      <c r="B29" s="11" t="s">
        <v>5</v>
      </c>
      <c r="C29" s="1">
        <v>0</v>
      </c>
      <c r="D29" s="11" t="s">
        <v>6</v>
      </c>
      <c r="E29" s="1">
        <v>24</v>
      </c>
      <c r="F29" s="11"/>
    </row>
    <row r="30" spans="1:6" x14ac:dyDescent="0.3">
      <c r="A30" s="47" t="s">
        <v>153</v>
      </c>
      <c r="B30" s="11" t="s">
        <v>5</v>
      </c>
      <c r="C30" s="1">
        <v>0</v>
      </c>
      <c r="D30" s="11" t="s">
        <v>6</v>
      </c>
      <c r="E30" s="1">
        <v>24</v>
      </c>
      <c r="F30" s="11"/>
    </row>
    <row r="31" spans="1:6" x14ac:dyDescent="0.3">
      <c r="A31" s="47" t="s">
        <v>154</v>
      </c>
      <c r="B31" s="11" t="s">
        <v>5</v>
      </c>
      <c r="C31" s="1">
        <v>0</v>
      </c>
      <c r="D31" s="11" t="s">
        <v>6</v>
      </c>
      <c r="E31" s="1">
        <v>24</v>
      </c>
      <c r="F31" s="11"/>
    </row>
    <row r="32" spans="1:6" x14ac:dyDescent="0.3">
      <c r="A32" s="47" t="s">
        <v>155</v>
      </c>
      <c r="B32" s="11" t="s">
        <v>5</v>
      </c>
      <c r="C32" s="1">
        <v>0</v>
      </c>
      <c r="D32" s="11" t="s">
        <v>6</v>
      </c>
      <c r="E32" s="1">
        <v>24</v>
      </c>
      <c r="F32" s="11"/>
    </row>
    <row r="33" spans="1:6" x14ac:dyDescent="0.3">
      <c r="A33" s="47" t="s">
        <v>156</v>
      </c>
      <c r="B33" s="11" t="s">
        <v>5</v>
      </c>
      <c r="C33" s="1">
        <v>0</v>
      </c>
      <c r="D33" s="11" t="s">
        <v>6</v>
      </c>
      <c r="E33" s="1">
        <v>24</v>
      </c>
      <c r="F33" s="11"/>
    </row>
    <row r="34" spans="1:6" x14ac:dyDescent="0.3">
      <c r="A34" s="47" t="s">
        <v>157</v>
      </c>
      <c r="B34" s="11" t="s">
        <v>5</v>
      </c>
      <c r="C34" s="1">
        <v>0</v>
      </c>
      <c r="D34" s="11" t="s">
        <v>6</v>
      </c>
      <c r="E34" s="1">
        <v>24</v>
      </c>
      <c r="F34" s="11"/>
    </row>
    <row r="35" spans="1:6" x14ac:dyDescent="0.3">
      <c r="A35" s="47" t="s">
        <v>158</v>
      </c>
      <c r="B35" s="11" t="s">
        <v>5</v>
      </c>
      <c r="C35" s="1">
        <v>0</v>
      </c>
      <c r="D35" s="11" t="s">
        <v>6</v>
      </c>
      <c r="E35" s="1">
        <v>24</v>
      </c>
      <c r="F35" s="11"/>
    </row>
    <row r="36" spans="1:6" x14ac:dyDescent="0.3">
      <c r="A36" s="47" t="s">
        <v>159</v>
      </c>
      <c r="B36" s="11" t="s">
        <v>5</v>
      </c>
      <c r="C36" s="1">
        <v>0</v>
      </c>
      <c r="D36" s="11" t="s">
        <v>6</v>
      </c>
      <c r="E36" s="1">
        <v>24</v>
      </c>
      <c r="F36" s="11"/>
    </row>
    <row r="37" spans="1:6" x14ac:dyDescent="0.3">
      <c r="A37" s="47" t="s">
        <v>160</v>
      </c>
      <c r="B37" s="11" t="s">
        <v>5</v>
      </c>
      <c r="C37" s="1">
        <v>0</v>
      </c>
      <c r="D37" s="11" t="s">
        <v>6</v>
      </c>
      <c r="E37" s="1">
        <v>24</v>
      </c>
      <c r="F37" s="11"/>
    </row>
    <row r="38" spans="1:6" x14ac:dyDescent="0.3">
      <c r="A38" s="47" t="s">
        <v>161</v>
      </c>
      <c r="B38" s="11" t="s">
        <v>5</v>
      </c>
      <c r="C38" s="1">
        <v>0</v>
      </c>
      <c r="D38" s="11" t="s">
        <v>6</v>
      </c>
      <c r="E38" s="1">
        <v>24</v>
      </c>
      <c r="F38" s="11"/>
    </row>
    <row r="39" spans="1:6" x14ac:dyDescent="0.3">
      <c r="A39" s="47" t="s">
        <v>162</v>
      </c>
      <c r="B39" s="11" t="s">
        <v>5</v>
      </c>
      <c r="C39" s="1">
        <v>0</v>
      </c>
      <c r="D39" s="11" t="s">
        <v>6</v>
      </c>
      <c r="E39" s="1">
        <v>24</v>
      </c>
      <c r="F39" s="11"/>
    </row>
    <row r="40" spans="1:6" x14ac:dyDescent="0.3">
      <c r="A40" s="47" t="s">
        <v>163</v>
      </c>
      <c r="B40" s="11" t="s">
        <v>5</v>
      </c>
      <c r="C40" s="1">
        <v>0</v>
      </c>
      <c r="D40" s="11" t="s">
        <v>6</v>
      </c>
      <c r="E40" s="1">
        <v>24</v>
      </c>
      <c r="F40" s="11"/>
    </row>
    <row r="41" spans="1:6" x14ac:dyDescent="0.3">
      <c r="A41" s="47" t="s">
        <v>164</v>
      </c>
      <c r="B41" s="11" t="s">
        <v>5</v>
      </c>
      <c r="C41" s="1">
        <v>0</v>
      </c>
      <c r="D41" s="11" t="s">
        <v>6</v>
      </c>
      <c r="E41" s="1">
        <v>24</v>
      </c>
      <c r="F41" s="11"/>
    </row>
    <row r="42" spans="1:6" x14ac:dyDescent="0.3">
      <c r="A42" s="47" t="s">
        <v>165</v>
      </c>
      <c r="B42" s="11" t="s">
        <v>5</v>
      </c>
      <c r="C42" s="1">
        <v>0</v>
      </c>
      <c r="D42" s="11" t="s">
        <v>6</v>
      </c>
      <c r="E42" s="1">
        <v>24</v>
      </c>
      <c r="F42" s="11"/>
    </row>
    <row r="43" spans="1:6" x14ac:dyDescent="0.3">
      <c r="A43" s="47" t="s">
        <v>166</v>
      </c>
      <c r="B43" s="11" t="s">
        <v>5</v>
      </c>
      <c r="C43" s="1">
        <v>0</v>
      </c>
      <c r="D43" s="11" t="s">
        <v>6</v>
      </c>
      <c r="E43" s="1">
        <v>24</v>
      </c>
      <c r="F43" s="11"/>
    </row>
    <row r="44" spans="1:6" x14ac:dyDescent="0.3">
      <c r="A44" s="47" t="s">
        <v>167</v>
      </c>
      <c r="B44" s="11" t="s">
        <v>5</v>
      </c>
      <c r="C44" s="1">
        <v>0</v>
      </c>
      <c r="D44" s="11" t="s">
        <v>6</v>
      </c>
      <c r="E44" s="1">
        <v>24</v>
      </c>
      <c r="F44" s="11"/>
    </row>
    <row r="45" spans="1:6" x14ac:dyDescent="0.3">
      <c r="A45" s="47" t="s">
        <v>168</v>
      </c>
      <c r="B45" s="11" t="s">
        <v>5</v>
      </c>
      <c r="C45" s="1">
        <v>0</v>
      </c>
      <c r="D45" s="11" t="s">
        <v>6</v>
      </c>
      <c r="E45" s="1">
        <v>24</v>
      </c>
      <c r="F45" s="11"/>
    </row>
    <row r="46" spans="1:6" x14ac:dyDescent="0.3">
      <c r="A46" s="47" t="s">
        <v>169</v>
      </c>
      <c r="B46" s="11" t="s">
        <v>5</v>
      </c>
      <c r="C46" s="1">
        <v>0</v>
      </c>
      <c r="D46" s="11" t="s">
        <v>6</v>
      </c>
      <c r="E46" s="1">
        <v>24</v>
      </c>
      <c r="F46" s="11"/>
    </row>
    <row r="47" spans="1:6" x14ac:dyDescent="0.3">
      <c r="A47" s="47" t="s">
        <v>170</v>
      </c>
      <c r="B47" s="11" t="s">
        <v>5</v>
      </c>
      <c r="C47" s="1">
        <v>0</v>
      </c>
      <c r="D47" s="11" t="s">
        <v>6</v>
      </c>
      <c r="E47" s="1">
        <v>24</v>
      </c>
      <c r="F47" s="11"/>
    </row>
    <row r="48" spans="1:6" x14ac:dyDescent="0.3">
      <c r="A48" s="47" t="s">
        <v>171</v>
      </c>
      <c r="B48" s="11" t="s">
        <v>5</v>
      </c>
      <c r="C48" s="1">
        <v>0</v>
      </c>
      <c r="D48" s="11" t="s">
        <v>6</v>
      </c>
      <c r="E48" s="1">
        <v>24</v>
      </c>
      <c r="F48" s="11"/>
    </row>
    <row r="49" spans="1:6" x14ac:dyDescent="0.3">
      <c r="A49" s="47" t="s">
        <v>172</v>
      </c>
      <c r="B49" s="11" t="s">
        <v>5</v>
      </c>
      <c r="C49" s="1">
        <v>0</v>
      </c>
      <c r="D49" s="11" t="s">
        <v>6</v>
      </c>
      <c r="E49" s="1">
        <v>24</v>
      </c>
      <c r="F49" s="11"/>
    </row>
    <row r="50" spans="1:6" x14ac:dyDescent="0.3">
      <c r="A50" s="47" t="s">
        <v>173</v>
      </c>
      <c r="B50" s="11" t="s">
        <v>5</v>
      </c>
      <c r="C50" s="1">
        <v>0</v>
      </c>
      <c r="D50" s="11" t="s">
        <v>6</v>
      </c>
      <c r="E50" s="1">
        <v>24</v>
      </c>
      <c r="F50" s="11"/>
    </row>
    <row r="51" spans="1:6" x14ac:dyDescent="0.3">
      <c r="A51" s="47" t="s">
        <v>174</v>
      </c>
      <c r="B51" s="11" t="s">
        <v>5</v>
      </c>
      <c r="C51" s="1">
        <v>0</v>
      </c>
      <c r="D51" s="11" t="s">
        <v>6</v>
      </c>
      <c r="E51" s="1">
        <v>24</v>
      </c>
      <c r="F51" s="11"/>
    </row>
    <row r="52" spans="1:6" x14ac:dyDescent="0.3">
      <c r="A52" s="47" t="s">
        <v>175</v>
      </c>
      <c r="B52" s="11" t="s">
        <v>5</v>
      </c>
      <c r="C52" s="1">
        <v>0</v>
      </c>
      <c r="D52" s="11" t="s">
        <v>6</v>
      </c>
      <c r="E52" s="1">
        <v>24</v>
      </c>
      <c r="F52" s="11"/>
    </row>
    <row r="53" spans="1:6" x14ac:dyDescent="0.3">
      <c r="A53" s="47" t="s">
        <v>176</v>
      </c>
      <c r="B53" s="11" t="s">
        <v>5</v>
      </c>
      <c r="C53" s="1">
        <v>0</v>
      </c>
      <c r="D53" s="11" t="s">
        <v>6</v>
      </c>
      <c r="E53" s="1">
        <v>24</v>
      </c>
      <c r="F53" s="11"/>
    </row>
    <row r="54" spans="1:6" x14ac:dyDescent="0.3">
      <c r="A54" s="48" t="s">
        <v>177</v>
      </c>
      <c r="B54" s="12" t="s">
        <v>5</v>
      </c>
      <c r="C54" s="9">
        <v>0</v>
      </c>
      <c r="D54" s="12" t="s">
        <v>6</v>
      </c>
      <c r="E54" s="9">
        <v>24</v>
      </c>
      <c r="F54" s="12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128</v>
      </c>
    </row>
    <row r="2" spans="1:3" ht="18" x14ac:dyDescent="0.35">
      <c r="B2" s="39" t="s">
        <v>127</v>
      </c>
    </row>
    <row r="5" spans="1:3" ht="14.4" x14ac:dyDescent="0.3">
      <c r="B5" s="1" t="s">
        <v>112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114</v>
      </c>
      <c r="B7" s="1" t="s">
        <v>180</v>
      </c>
    </row>
    <row r="10" spans="1:3" ht="23.4" x14ac:dyDescent="0.45">
      <c r="A10" s="17" t="s">
        <v>123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115</v>
      </c>
      <c r="C17" s="16">
        <v>150</v>
      </c>
    </row>
    <row r="18" spans="1:3" ht="14.4" x14ac:dyDescent="0.3">
      <c r="A18" s="31">
        <v>44933</v>
      </c>
      <c r="B18" s="16" t="s">
        <v>116</v>
      </c>
      <c r="C18" s="16">
        <v>80</v>
      </c>
    </row>
    <row r="19" spans="1:3" ht="14.4" x14ac:dyDescent="0.3">
      <c r="A19" s="31">
        <v>44934</v>
      </c>
      <c r="B19" s="16" t="s">
        <v>117</v>
      </c>
      <c r="C19" s="16" t="e">
        <v>#N/A</v>
      </c>
    </row>
    <row r="20" spans="1:3" ht="14.4" x14ac:dyDescent="0.3">
      <c r="A20" s="31">
        <v>44935</v>
      </c>
      <c r="B20" s="16" t="s">
        <v>118</v>
      </c>
      <c r="C20" s="16">
        <v>30</v>
      </c>
    </row>
    <row r="21" spans="1:3" ht="14.4" x14ac:dyDescent="0.3">
      <c r="A21" s="31">
        <v>44936</v>
      </c>
      <c r="B21" s="16" t="s">
        <v>119</v>
      </c>
      <c r="C21" s="16" t="e">
        <v>#N/A</v>
      </c>
    </row>
    <row r="22" spans="1:3" ht="14.4" x14ac:dyDescent="0.3">
      <c r="B22" s="16" t="s">
        <v>120</v>
      </c>
      <c r="C22" s="24" cm="1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136</v>
      </c>
    </row>
    <row r="3" spans="1:14" ht="14.4" x14ac:dyDescent="0.3">
      <c r="B3" s="1" t="s">
        <v>112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114</v>
      </c>
      <c r="B5" s="1"/>
    </row>
    <row r="6" spans="1:14" ht="14.4" x14ac:dyDescent="0.3">
      <c r="A6" s="3"/>
      <c r="B6" s="1"/>
    </row>
    <row r="8" spans="1:14" ht="23.4" x14ac:dyDescent="0.45">
      <c r="A8" s="17" t="s">
        <v>123</v>
      </c>
      <c r="M8" s="17" t="s">
        <v>124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129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/>
    </row>
    <row r="24" spans="1:14" ht="14.4" x14ac:dyDescent="0.3">
      <c r="A24" s="7">
        <v>10100</v>
      </c>
      <c r="B24" s="11">
        <v>10104</v>
      </c>
    </row>
    <row r="25" spans="1:14" ht="14.4" x14ac:dyDescent="0.3">
      <c r="A25" s="7">
        <v>10108</v>
      </c>
      <c r="B25" s="11">
        <v>10102</v>
      </c>
      <c r="C25" s="43"/>
      <c r="E25" s="2" t="s">
        <v>181</v>
      </c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8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Table1</vt:lpstr>
      <vt:lpstr>Table2</vt:lpstr>
      <vt:lpstr>Table3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Amit Awad</cp:lastModifiedBy>
  <dcterms:created xsi:type="dcterms:W3CDTF">2015-02-10T17:33:11Z</dcterms:created>
  <dcterms:modified xsi:type="dcterms:W3CDTF">2023-12-10T14:16:57Z</dcterms:modified>
</cp:coreProperties>
</file>